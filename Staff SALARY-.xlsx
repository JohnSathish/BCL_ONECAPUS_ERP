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Projects\1505NEWERP\"/>
    </mc:Choice>
  </mc:AlternateContent>
  <xr:revisionPtr revIDLastSave="0" documentId="8_{7A49FFA0-EF6B-4DC7-90CB-0B8BA731E0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aching College Manangement Sa" sheetId="18" r:id="rId1"/>
    <sheet name="Teaching UGC Salary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6" l="1"/>
  <c r="I24" i="26"/>
  <c r="H24" i="26"/>
  <c r="E23" i="26"/>
  <c r="G23" i="26" s="1"/>
  <c r="D23" i="26"/>
  <c r="F23" i="26" s="1"/>
  <c r="K23" i="26" s="1"/>
  <c r="E22" i="26"/>
  <c r="G22" i="26" s="1"/>
  <c r="D22" i="26"/>
  <c r="F22" i="26" s="1"/>
  <c r="K22" i="26" s="1"/>
  <c r="E21" i="26"/>
  <c r="G21" i="26" s="1"/>
  <c r="D21" i="26"/>
  <c r="F21" i="26" s="1"/>
  <c r="K21" i="26" s="1"/>
  <c r="E20" i="26"/>
  <c r="G20" i="26" s="1"/>
  <c r="D20" i="26"/>
  <c r="F20" i="26" s="1"/>
  <c r="K20" i="26" s="1"/>
  <c r="E19" i="26"/>
  <c r="G19" i="26" s="1"/>
  <c r="D19" i="26"/>
  <c r="F19" i="26" s="1"/>
  <c r="K19" i="26" s="1"/>
  <c r="F18" i="26"/>
  <c r="E18" i="26"/>
  <c r="G18" i="26" s="1"/>
  <c r="D18" i="26"/>
  <c r="E17" i="26"/>
  <c r="G17" i="26" s="1"/>
  <c r="D17" i="26"/>
  <c r="F17" i="26" s="1"/>
  <c r="K17" i="26" s="1"/>
  <c r="G16" i="26"/>
  <c r="E16" i="26"/>
  <c r="D16" i="26"/>
  <c r="F16" i="26" s="1"/>
  <c r="K16" i="26" s="1"/>
  <c r="E15" i="26"/>
  <c r="G15" i="26" s="1"/>
  <c r="D15" i="26"/>
  <c r="D14" i="26"/>
  <c r="E13" i="26"/>
  <c r="G13" i="26" s="1"/>
  <c r="D13" i="26"/>
  <c r="E12" i="26"/>
  <c r="G12" i="26" s="1"/>
  <c r="D12" i="26"/>
  <c r="F12" i="26" s="1"/>
  <c r="K12" i="26" s="1"/>
  <c r="G11" i="26"/>
  <c r="E11" i="26"/>
  <c r="D11" i="26"/>
  <c r="F11" i="26" s="1"/>
  <c r="K11" i="26" s="1"/>
  <c r="F10" i="26"/>
  <c r="E10" i="26"/>
  <c r="G10" i="26" s="1"/>
  <c r="D10" i="26"/>
  <c r="E9" i="26"/>
  <c r="G9" i="26" s="1"/>
  <c r="D9" i="26"/>
  <c r="F9" i="26" s="1"/>
  <c r="K9" i="26" s="1"/>
  <c r="G8" i="26"/>
  <c r="E8" i="26"/>
  <c r="D8" i="26"/>
  <c r="F8" i="26" s="1"/>
  <c r="K8" i="26" s="1"/>
  <c r="E7" i="26"/>
  <c r="G7" i="26" s="1"/>
  <c r="D7" i="26"/>
  <c r="F7" i="26" s="1"/>
  <c r="K7" i="26" s="1"/>
  <c r="E6" i="26"/>
  <c r="G6" i="26" s="1"/>
  <c r="D6" i="26"/>
  <c r="F6" i="26" s="1"/>
  <c r="K6" i="26" s="1"/>
  <c r="G5" i="26"/>
  <c r="E5" i="26"/>
  <c r="D5" i="26"/>
  <c r="F5" i="26" s="1"/>
  <c r="I57" i="18"/>
  <c r="E57" i="18"/>
  <c r="D57" i="18"/>
  <c r="J56" i="18"/>
  <c r="J55" i="18"/>
  <c r="F54" i="18"/>
  <c r="J54" i="18" s="1"/>
  <c r="F53" i="18"/>
  <c r="J53" i="18" s="1"/>
  <c r="F52" i="18"/>
  <c r="J52" i="18" s="1"/>
  <c r="F51" i="18"/>
  <c r="J51" i="18" s="1"/>
  <c r="F50" i="18"/>
  <c r="J50" i="18" s="1"/>
  <c r="F49" i="18"/>
  <c r="J49" i="18" s="1"/>
  <c r="F48" i="18"/>
  <c r="J48" i="18" s="1"/>
  <c r="F47" i="18"/>
  <c r="J47" i="18" s="1"/>
  <c r="F46" i="18"/>
  <c r="J46" i="18" s="1"/>
  <c r="F45" i="18"/>
  <c r="J45" i="18" s="1"/>
  <c r="F44" i="18"/>
  <c r="J44" i="18" s="1"/>
  <c r="F43" i="18"/>
  <c r="J43" i="18" s="1"/>
  <c r="F42" i="18"/>
  <c r="J42" i="18" s="1"/>
  <c r="F41" i="18"/>
  <c r="J41" i="18" s="1"/>
  <c r="F40" i="18"/>
  <c r="J40" i="18" s="1"/>
  <c r="F39" i="18"/>
  <c r="J39" i="18" s="1"/>
  <c r="F38" i="18"/>
  <c r="J38" i="18" s="1"/>
  <c r="F37" i="18"/>
  <c r="J37" i="18" s="1"/>
  <c r="F36" i="18"/>
  <c r="J36" i="18" s="1"/>
  <c r="F35" i="18"/>
  <c r="J35" i="18" s="1"/>
  <c r="F34" i="18"/>
  <c r="J34" i="18" s="1"/>
  <c r="F33" i="18"/>
  <c r="J33" i="18" s="1"/>
  <c r="F32" i="18"/>
  <c r="J32" i="18" s="1"/>
  <c r="F31" i="18"/>
  <c r="J31" i="18" s="1"/>
  <c r="F30" i="18"/>
  <c r="J30" i="18" s="1"/>
  <c r="F29" i="18"/>
  <c r="J29" i="18" s="1"/>
  <c r="F28" i="18"/>
  <c r="J28" i="18" s="1"/>
  <c r="F27" i="18"/>
  <c r="J27" i="18" s="1"/>
  <c r="G26" i="18"/>
  <c r="F26" i="18"/>
  <c r="G25" i="18"/>
  <c r="F25" i="18"/>
  <c r="G24" i="18"/>
  <c r="F24" i="18"/>
  <c r="G23" i="18"/>
  <c r="F23" i="18"/>
  <c r="G22" i="18"/>
  <c r="F22" i="18"/>
  <c r="G21" i="18"/>
  <c r="F21" i="18"/>
  <c r="G20" i="18"/>
  <c r="F20" i="18"/>
  <c r="G19" i="18"/>
  <c r="F19" i="18"/>
  <c r="G18" i="18"/>
  <c r="F18" i="18"/>
  <c r="G17" i="18"/>
  <c r="F17" i="18"/>
  <c r="G16" i="18"/>
  <c r="F16" i="18"/>
  <c r="G15" i="18"/>
  <c r="F15" i="18"/>
  <c r="H14" i="18"/>
  <c r="H57" i="18" s="1"/>
  <c r="G14" i="18"/>
  <c r="F14" i="18"/>
  <c r="G13" i="18"/>
  <c r="F13" i="18"/>
  <c r="G12" i="18"/>
  <c r="F12" i="18"/>
  <c r="G11" i="18"/>
  <c r="F11" i="18"/>
  <c r="G10" i="18"/>
  <c r="F10" i="18"/>
  <c r="G9" i="18"/>
  <c r="F9" i="18"/>
  <c r="G8" i="18"/>
  <c r="F8" i="18"/>
  <c r="G7" i="18"/>
  <c r="F7" i="18"/>
  <c r="G6" i="18"/>
  <c r="F6" i="18"/>
  <c r="K5" i="26" l="1"/>
  <c r="F24" i="26"/>
  <c r="G24" i="26"/>
  <c r="K10" i="26"/>
  <c r="K18" i="26"/>
  <c r="F13" i="26"/>
  <c r="K13" i="26" s="1"/>
  <c r="F15" i="26"/>
  <c r="K15" i="26" s="1"/>
  <c r="J8" i="18"/>
  <c r="J16" i="18"/>
  <c r="J19" i="18"/>
  <c r="J22" i="18"/>
  <c r="J9" i="18"/>
  <c r="J13" i="18"/>
  <c r="J15" i="18"/>
  <c r="J18" i="18"/>
  <c r="J21" i="18"/>
  <c r="J14" i="18"/>
  <c r="J17" i="18"/>
  <c r="J20" i="18"/>
  <c r="J23" i="18"/>
  <c r="J26" i="18"/>
  <c r="G57" i="18"/>
  <c r="J7" i="18"/>
  <c r="J12" i="18"/>
  <c r="J10" i="18"/>
  <c r="J24" i="18"/>
  <c r="F57" i="18"/>
  <c r="J11" i="18"/>
  <c r="J25" i="18"/>
  <c r="J6" i="18"/>
  <c r="K24" i="26" l="1"/>
  <c r="J5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DBC</author>
  </authors>
  <commentList>
    <comment ref="C8" authorId="0" shapeId="0" xr:uid="{00000000-0006-0000-0100-000001000000}">
      <text>
        <r>
          <rPr>
            <b/>
            <sz val="9"/>
            <rFont val="Tahoma"/>
            <family val="2"/>
          </rPr>
          <t>DBC:</t>
        </r>
        <r>
          <rPr>
            <sz val="9"/>
            <rFont val="Tahoma"/>
            <family val="2"/>
          </rPr>
          <t xml:space="preserve">
NO PPF
</t>
        </r>
      </text>
    </comment>
  </commentList>
</comments>
</file>

<file path=xl/sharedStrings.xml><?xml version="1.0" encoding="utf-8"?>
<sst xmlns="http://schemas.openxmlformats.org/spreadsheetml/2006/main" count="138" uniqueCount="134">
  <si>
    <t>NAME</t>
  </si>
  <si>
    <t xml:space="preserve">Loan </t>
  </si>
  <si>
    <t>DON BOSCO COLLEGE, TURA</t>
  </si>
  <si>
    <t>REVISED SALARY  w.e.f 1st July 2023</t>
  </si>
  <si>
    <t>Salary Statement Teaching Staff for the month of MAY 2026</t>
  </si>
  <si>
    <t>Sl.</t>
  </si>
  <si>
    <t>Basic</t>
  </si>
  <si>
    <t>P.F. 12% of 6500</t>
  </si>
  <si>
    <t>TOTAL</t>
  </si>
  <si>
    <t>Deductions</t>
  </si>
  <si>
    <t>Net</t>
  </si>
  <si>
    <t>PPF</t>
  </si>
  <si>
    <t>H. Rent</t>
  </si>
  <si>
    <t xml:space="preserve">BINENDRO N MARAK </t>
  </si>
  <si>
    <t xml:space="preserve">BRISTINA  D  SHIRA </t>
  </si>
  <si>
    <t>LILY  BELL CH   MARAK</t>
  </si>
  <si>
    <t xml:space="preserve">SABINDRA RAJBONGSHI   </t>
  </si>
  <si>
    <t>ZINNIA  K  MARAK</t>
  </si>
  <si>
    <t xml:space="preserve">SUGATA  DEB  NATH  </t>
  </si>
  <si>
    <t xml:space="preserve">RANI  ARULDASS </t>
  </si>
  <si>
    <t xml:space="preserve">GAURAV BISWAS </t>
  </si>
  <si>
    <t xml:space="preserve">MAHIDHAR  RAJBONGSHI </t>
  </si>
  <si>
    <t xml:space="preserve">RUBITHA  A  SANGMA  </t>
  </si>
  <si>
    <t xml:space="preserve">SENGPRANG  A.  SANGMA </t>
  </si>
  <si>
    <t xml:space="preserve">DHIRAJ KUMAR RABHA </t>
  </si>
  <si>
    <t xml:space="preserve">Fr.  LOUIS ARIMBOOR  </t>
  </si>
  <si>
    <t>CHICHI CH SANGMA</t>
  </si>
  <si>
    <t>SURJORON HAJONG</t>
  </si>
  <si>
    <t>JUDALIN KHARSHANDI</t>
  </si>
  <si>
    <t>BIKKI CH SANGMA</t>
  </si>
  <si>
    <t>FRIANGKY M MARAK</t>
  </si>
  <si>
    <t>FERICK SALNANG D SANGMA</t>
  </si>
  <si>
    <t xml:space="preserve">TENANG  R  MARAK </t>
  </si>
  <si>
    <t>ANDREW B SANGMA</t>
  </si>
  <si>
    <t>GENEVIE A SANGMA</t>
  </si>
  <si>
    <t>KSANBOR KHARKONGOR</t>
  </si>
  <si>
    <t xml:space="preserve">TUSUMIKA ADHIKARY </t>
  </si>
  <si>
    <t>KAUSHIK PAUL</t>
  </si>
  <si>
    <t>CHERIMCHI M SANGMA</t>
  </si>
  <si>
    <t>ABHIMANYU SHARMA</t>
  </si>
  <si>
    <t xml:space="preserve">Fr. JOHN PAUL TIRKEY </t>
  </si>
  <si>
    <t>NAMSANG K MARAK</t>
  </si>
  <si>
    <t>ALWISHA T SANGMA</t>
  </si>
  <si>
    <t>ESTANIA D SHIRA</t>
  </si>
  <si>
    <t>Anil Kumar</t>
  </si>
  <si>
    <t>JESSY T SANGMA</t>
  </si>
  <si>
    <t>CHARE SANGMA</t>
  </si>
  <si>
    <t>ARANTXA SHANNON R MARAK</t>
  </si>
  <si>
    <t>TAMARA R MARAK</t>
  </si>
  <si>
    <t>SENBACHI CH MOMIN</t>
  </si>
  <si>
    <t>SENGMATCHI M SANGMA</t>
  </si>
  <si>
    <t>BINDARASH R MARAK</t>
  </si>
  <si>
    <t>JASMINE SYLEVERA CH MARAK</t>
  </si>
  <si>
    <t>NENZEBI SANGMA</t>
  </si>
  <si>
    <t>DOLINA R SANGMA</t>
  </si>
  <si>
    <t>PRANITA HAJONG</t>
  </si>
  <si>
    <t>VICKY S SANGMA</t>
  </si>
  <si>
    <t>KASINCHI A MARAK</t>
  </si>
  <si>
    <t>CHONME CH SANGMA</t>
  </si>
  <si>
    <t>CHELSEA D SANGMA</t>
  </si>
  <si>
    <t>CHANCHIAMAN  R MARAK</t>
  </si>
  <si>
    <t>BRILLIANT N MARAK</t>
  </si>
  <si>
    <t>BONME A SAMGMA</t>
  </si>
  <si>
    <t>ZAKKUL D SANGMA</t>
  </si>
  <si>
    <t>Total</t>
  </si>
  <si>
    <t>BASIC</t>
  </si>
  <si>
    <t>HCA</t>
  </si>
  <si>
    <t>HR 15%</t>
  </si>
  <si>
    <t>MA</t>
  </si>
  <si>
    <t xml:space="preserve">  GROSS TOTAL</t>
  </si>
  <si>
    <t>C.P.F</t>
  </si>
  <si>
    <t>DBCTCH-01-001</t>
  </si>
  <si>
    <t>DBCTCH-01-002</t>
  </si>
  <si>
    <t>DBCTCH-05-001</t>
  </si>
  <si>
    <t>DBCTCH-07-001</t>
  </si>
  <si>
    <t>DBCTCH-08-001</t>
  </si>
  <si>
    <t>DBCTCH-08-002</t>
  </si>
  <si>
    <t>Toijam Sanjeev Lyngdoh</t>
  </si>
  <si>
    <t>DBCTCH-14-001</t>
  </si>
  <si>
    <t>DBCTCH-14-002</t>
  </si>
  <si>
    <t>DBCTCH-14-003</t>
  </si>
  <si>
    <t>DBCTCH-15-001</t>
  </si>
  <si>
    <t>DBCTCH-15-002</t>
  </si>
  <si>
    <t>DBCTCH-15-003</t>
  </si>
  <si>
    <t>DBCTCH-18-001</t>
  </si>
  <si>
    <t>DBCTCH-19-001</t>
  </si>
  <si>
    <t>DBCTCH-19-002</t>
  </si>
  <si>
    <t>Brave Well Mawthoh</t>
  </si>
  <si>
    <t>DBCTCH-19-004</t>
  </si>
  <si>
    <t>DBCTCH-19-005</t>
  </si>
  <si>
    <t>DBCTCH-19-006</t>
  </si>
  <si>
    <t>DBCTCH-21-002</t>
  </si>
  <si>
    <t>DBCTCH-21-003</t>
  </si>
  <si>
    <t>DBCTCH-21-004</t>
  </si>
  <si>
    <t>DBCTCH-21-005</t>
  </si>
  <si>
    <t>DBCTCH-21-007</t>
  </si>
  <si>
    <t>DBCTCH-22-003</t>
  </si>
  <si>
    <t>DBCTCH-22-004</t>
  </si>
  <si>
    <t>DBCTCH-22-005</t>
  </si>
  <si>
    <t>Tapsreng Jones K. Sangma</t>
  </si>
  <si>
    <t>DBCTCH-22-007</t>
  </si>
  <si>
    <t>DBCTCH-23-001</t>
  </si>
  <si>
    <t>DBCTCH-23-005</t>
  </si>
  <si>
    <t>DON BOSCO COLLEGE, TURA.</t>
  </si>
  <si>
    <t>U.G.C. Salary of Teaching Staff for FEBRUARY, 2026</t>
  </si>
  <si>
    <t xml:space="preserve"> REVISED UGC SCALE UNDER 7th PAY COMMISSION (D.A. @ 58 %)</t>
  </si>
  <si>
    <t>Sl.No</t>
  </si>
  <si>
    <t>Name</t>
  </si>
  <si>
    <t>DA @58%</t>
  </si>
  <si>
    <t>CPF@10%</t>
  </si>
  <si>
    <t>GROSS TOTAL</t>
  </si>
  <si>
    <t>TDS</t>
  </si>
  <si>
    <t>LOAN</t>
  </si>
  <si>
    <t>HOUSE RENT</t>
  </si>
  <si>
    <t>NET PAYMENT</t>
  </si>
  <si>
    <t>Arindam Ghosh</t>
  </si>
  <si>
    <t>Habul Chandra Das</t>
  </si>
  <si>
    <t>Jayatosh De</t>
  </si>
  <si>
    <t xml:space="preserve">Madhusudhan Saha  </t>
  </si>
  <si>
    <t>Meuller Beul M Sangma</t>
  </si>
  <si>
    <t>Nicholas M Sangma</t>
  </si>
  <si>
    <t>Sanggra A Sangma</t>
  </si>
  <si>
    <t>Sr. Lucy R Marak</t>
  </si>
  <si>
    <t>Uma Roy Bhowmik</t>
  </si>
  <si>
    <t>CPF@ 8%</t>
  </si>
  <si>
    <t xml:space="preserve">Kimberley Nokimbe G. Momin  </t>
  </si>
  <si>
    <t xml:space="preserve">Yubaraj Sharma </t>
  </si>
  <si>
    <t xml:space="preserve"> Colnat B. Marak</t>
  </si>
  <si>
    <t>Wanphai Mary K Japang</t>
  </si>
  <si>
    <t>Westerley R. Marak</t>
  </si>
  <si>
    <t>Jordana Dipera R Marak</t>
  </si>
  <si>
    <t>TOTAL - A</t>
  </si>
  <si>
    <t xml:space="preserve">CPF @ 8%   </t>
  </si>
  <si>
    <t>DA 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</si>
</sst>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u/>
      <sz val="8"/>
      <name val="Times New Roman"/>
      <family val="1"/>
    </font>
    <font>
      <b/>
      <u/>
      <sz val="10"/>
      <name val="Times New Roman"/>
      <family val="1"/>
    </font>
    <font>
      <b/>
      <u/>
      <sz val="9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i/>
      <u/>
      <sz val="11"/>
      <name val="Times New Roman"/>
      <family val="1"/>
    </font>
    <font>
      <b/>
      <i/>
      <u/>
      <sz val="11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</cellStyleXfs>
  <cellXfs count="96">
    <xf numFmtId="0" fontId="0" fillId="0" borderId="0" xfId="0"/>
    <xf numFmtId="0" fontId="6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vertical="distributed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2" fillId="0" borderId="0" xfId="0" applyFont="1"/>
    <xf numFmtId="0" fontId="7" fillId="2" borderId="0" xfId="0" applyFont="1" applyFill="1"/>
    <xf numFmtId="0" fontId="2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" fontId="15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0" xfId="0" applyFont="1"/>
    <xf numFmtId="1" fontId="4" fillId="0" borderId="1" xfId="3" applyNumberFormat="1" applyFont="1" applyBorder="1" applyAlignment="1">
      <alignment horizontal="center" vertical="center"/>
    </xf>
    <xf numFmtId="1" fontId="4" fillId="0" borderId="8" xfId="3" applyNumberFormat="1" applyFont="1" applyBorder="1" applyAlignment="1">
      <alignment horizontal="center" vertical="center"/>
    </xf>
    <xf numFmtId="1" fontId="4" fillId="0" borderId="9" xfId="3" applyNumberFormat="1" applyFont="1" applyBorder="1" applyAlignment="1">
      <alignment horizontal="center" vertical="center"/>
    </xf>
    <xf numFmtId="0" fontId="4" fillId="0" borderId="9" xfId="4" applyFont="1" applyBorder="1" applyAlignment="1">
      <alignment horizontal="center" vertical="center"/>
    </xf>
    <xf numFmtId="0" fontId="4" fillId="0" borderId="8" xfId="4" applyFont="1" applyBorder="1" applyAlignment="1">
      <alignment horizontal="center" vertical="center"/>
    </xf>
    <xf numFmtId="1" fontId="20" fillId="0" borderId="9" xfId="3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1" fontId="4" fillId="0" borderId="9" xfId="3" applyNumberFormat="1" applyFont="1" applyBorder="1" applyAlignment="1">
      <alignment vertical="center"/>
    </xf>
    <xf numFmtId="1" fontId="4" fillId="0" borderId="9" xfId="3" applyNumberFormat="1" applyFont="1" applyBorder="1" applyAlignment="1">
      <alignment vertical="center" wrapText="1"/>
    </xf>
    <xf numFmtId="1" fontId="4" fillId="0" borderId="8" xfId="3" applyNumberFormat="1" applyFont="1" applyBorder="1" applyAlignment="1">
      <alignment vertical="center" wrapText="1"/>
    </xf>
    <xf numFmtId="1" fontId="2" fillId="0" borderId="9" xfId="3" applyNumberFormat="1" applyFont="1" applyBorder="1" applyAlignment="1">
      <alignment horizontal="center" vertical="center"/>
    </xf>
    <xf numFmtId="1" fontId="2" fillId="0" borderId="9" xfId="2" applyNumberFormat="1" applyFont="1" applyBorder="1" applyAlignment="1">
      <alignment horizontal="left" vertical="center" shrinkToFit="1"/>
    </xf>
    <xf numFmtId="3" fontId="2" fillId="0" borderId="9" xfId="5" applyNumberFormat="1" applyFont="1" applyBorder="1" applyAlignment="1">
      <alignment horizontal="center" vertical="center"/>
    </xf>
    <xf numFmtId="3" fontId="4" fillId="0" borderId="9" xfId="3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 vertical="center"/>
    </xf>
    <xf numFmtId="1" fontId="2" fillId="0" borderId="9" xfId="3" applyNumberFormat="1" applyFont="1" applyBorder="1" applyAlignment="1">
      <alignment vertical="center"/>
    </xf>
    <xf numFmtId="1" fontId="2" fillId="0" borderId="8" xfId="3" applyNumberFormat="1" applyFont="1" applyBorder="1" applyAlignment="1">
      <alignment vertical="center"/>
    </xf>
    <xf numFmtId="3" fontId="15" fillId="0" borderId="9" xfId="0" applyNumberFormat="1" applyFont="1" applyBorder="1" applyAlignment="1">
      <alignment horizontal="center" vertical="center"/>
    </xf>
    <xf numFmtId="1" fontId="2" fillId="0" borderId="0" xfId="3" applyNumberFormat="1" applyFont="1" applyAlignment="1">
      <alignment vertical="center"/>
    </xf>
    <xf numFmtId="3" fontId="20" fillId="0" borderId="9" xfId="5" applyNumberFormat="1" applyFont="1" applyBorder="1" applyAlignment="1">
      <alignment horizontal="center" vertical="center"/>
    </xf>
    <xf numFmtId="1" fontId="22" fillId="0" borderId="9" xfId="2" applyNumberFormat="1" applyFont="1" applyBorder="1" applyAlignment="1">
      <alignment vertical="center" wrapText="1" shrinkToFit="1"/>
    </xf>
    <xf numFmtId="1" fontId="2" fillId="0" borderId="9" xfId="2" applyNumberFormat="1" applyFont="1" applyBorder="1" applyAlignment="1">
      <alignment horizontal="left" vertical="center" wrapText="1" shrinkToFit="1"/>
    </xf>
    <xf numFmtId="1" fontId="2" fillId="0" borderId="11" xfId="3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center" vertical="center" shrinkToFit="1"/>
    </xf>
    <xf numFmtId="3" fontId="2" fillId="0" borderId="11" xfId="5" applyNumberFormat="1" applyFont="1" applyBorder="1" applyAlignment="1">
      <alignment horizontal="center" vertical="center"/>
    </xf>
    <xf numFmtId="3" fontId="4" fillId="0" borderId="11" xfId="3" applyNumberFormat="1" applyFont="1" applyBorder="1" applyAlignment="1">
      <alignment horizontal="center" vertical="center"/>
    </xf>
    <xf numFmtId="1" fontId="2" fillId="0" borderId="12" xfId="3" applyNumberFormat="1" applyFont="1" applyBorder="1" applyAlignment="1">
      <alignment horizontal="center" vertical="center"/>
    </xf>
    <xf numFmtId="1" fontId="2" fillId="0" borderId="10" xfId="3" applyNumberFormat="1" applyFont="1" applyBorder="1" applyAlignment="1">
      <alignment vertical="center"/>
    </xf>
    <xf numFmtId="0" fontId="4" fillId="0" borderId="10" xfId="4" applyFont="1" applyBorder="1" applyAlignment="1">
      <alignment horizontal="center" vertical="center" wrapText="1"/>
    </xf>
    <xf numFmtId="0" fontId="4" fillId="0" borderId="10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 wrapText="1"/>
    </xf>
    <xf numFmtId="1" fontId="2" fillId="0" borderId="13" xfId="3" applyNumberFormat="1" applyFont="1" applyBorder="1" applyAlignment="1">
      <alignment vertical="center" wrapText="1"/>
    </xf>
  </cellXfs>
  <cellStyles count="6">
    <cellStyle name="Normal" xfId="0" builtinId="0"/>
    <cellStyle name="Normal 2" xfId="1" xr:uid="{00000000-0005-0000-0000-000031000000}"/>
    <cellStyle name="Normal 2 2" xfId="2" xr:uid="{00000000-0005-0000-0000-000032000000}"/>
    <cellStyle name="Normal 2 3 2" xfId="5" xr:uid="{342D38E7-2F9E-4ED5-97F9-77D78E828441}"/>
    <cellStyle name="Normal 2 4 2 2" xfId="3" xr:uid="{00000000-0005-0000-0000-000033000000}"/>
    <cellStyle name="Normal 3" xfId="4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PF@10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tabSelected="1" zoomScale="110" zoomScaleNormal="110" workbookViewId="0">
      <selection activeCell="L8" sqref="L8"/>
    </sheetView>
  </sheetViews>
  <sheetFormatPr defaultColWidth="19" defaultRowHeight="15"/>
  <cols>
    <col min="1" max="1" width="5.85546875" style="9" customWidth="1"/>
    <col min="2" max="2" width="17.140625" style="9" customWidth="1"/>
    <col min="3" max="3" width="21.42578125" style="10" customWidth="1"/>
    <col min="4" max="4" width="8" style="7" customWidth="1"/>
    <col min="5" max="5" width="6.85546875" style="7" customWidth="1"/>
    <col min="6" max="6" width="9" style="7" customWidth="1"/>
    <col min="7" max="7" width="7.5703125" style="3" customWidth="1"/>
    <col min="8" max="8" width="8" style="3" customWidth="1"/>
    <col min="9" max="9" width="8.28515625" style="11" customWidth="1"/>
    <col min="10" max="10" width="9.42578125" style="9" customWidth="1"/>
    <col min="11" max="16384" width="19" style="9"/>
  </cols>
  <sheetData>
    <row r="1" spans="1:11" s="3" customFormat="1">
      <c r="A1" s="43" t="s">
        <v>2</v>
      </c>
      <c r="B1" s="43"/>
      <c r="C1" s="43"/>
      <c r="D1" s="43"/>
      <c r="E1" s="43"/>
      <c r="F1" s="43"/>
      <c r="G1" s="43"/>
      <c r="H1" s="43"/>
      <c r="I1" s="43"/>
      <c r="J1" s="43"/>
    </row>
    <row r="2" spans="1:11" s="3" customFormat="1" ht="17.100000000000001" customHeight="1">
      <c r="A2" s="44" t="s">
        <v>3</v>
      </c>
      <c r="B2" s="44"/>
      <c r="C2" s="44"/>
      <c r="D2" s="44"/>
      <c r="E2" s="44"/>
      <c r="F2" s="44"/>
      <c r="G2" s="44"/>
      <c r="H2" s="44"/>
      <c r="I2" s="44"/>
      <c r="J2" s="44"/>
    </row>
    <row r="3" spans="1:11" s="3" customFormat="1" ht="21" customHeight="1">
      <c r="A3" s="45" t="s">
        <v>4</v>
      </c>
      <c r="B3" s="46"/>
      <c r="C3" s="46"/>
      <c r="D3" s="46"/>
      <c r="E3" s="46"/>
      <c r="F3" s="46"/>
      <c r="G3" s="46"/>
      <c r="H3" s="46"/>
      <c r="I3" s="46"/>
      <c r="J3" s="47"/>
    </row>
    <row r="4" spans="1:11" s="4" customFormat="1" ht="25.5" customHeight="1">
      <c r="A4" s="51" t="s">
        <v>5</v>
      </c>
      <c r="B4" s="12"/>
      <c r="C4" s="53" t="s">
        <v>0</v>
      </c>
      <c r="D4" s="55" t="s">
        <v>6</v>
      </c>
      <c r="E4" s="53" t="s">
        <v>7</v>
      </c>
      <c r="F4" s="57" t="s">
        <v>8</v>
      </c>
      <c r="G4" s="48" t="s">
        <v>9</v>
      </c>
      <c r="H4" s="49"/>
      <c r="I4" s="55" t="s">
        <v>1</v>
      </c>
      <c r="J4" s="59" t="s">
        <v>10</v>
      </c>
    </row>
    <row r="5" spans="1:11" s="4" customFormat="1" ht="15.75" customHeight="1">
      <c r="A5" s="52"/>
      <c r="B5" s="13"/>
      <c r="C5" s="54"/>
      <c r="D5" s="56"/>
      <c r="E5" s="54"/>
      <c r="F5" s="58"/>
      <c r="G5" s="14" t="s">
        <v>11</v>
      </c>
      <c r="H5" s="14" t="s">
        <v>12</v>
      </c>
      <c r="I5" s="56"/>
      <c r="J5" s="60"/>
    </row>
    <row r="6" spans="1:11" s="5" customFormat="1">
      <c r="A6" s="15">
        <v>1</v>
      </c>
      <c r="B6" t="s">
        <v>73</v>
      </c>
      <c r="C6" s="16" t="s">
        <v>13</v>
      </c>
      <c r="D6" s="17">
        <v>35280</v>
      </c>
      <c r="E6" s="17">
        <v>780</v>
      </c>
      <c r="F6" s="17">
        <f>SUM(D6:E6)</f>
        <v>36060</v>
      </c>
      <c r="G6" s="2">
        <f t="shared" ref="G6:G14" si="0">E6*2</f>
        <v>1560</v>
      </c>
      <c r="H6" s="17">
        <v>0</v>
      </c>
      <c r="I6" s="17">
        <v>0</v>
      </c>
      <c r="J6" s="2">
        <f t="shared" ref="J6:J26" si="1">F6-G6-H6-I6</f>
        <v>34500</v>
      </c>
    </row>
    <row r="7" spans="1:11" s="5" customFormat="1" ht="14.25" customHeight="1">
      <c r="A7" s="15">
        <v>2</v>
      </c>
      <c r="B7" t="s">
        <v>74</v>
      </c>
      <c r="C7" s="16" t="s">
        <v>14</v>
      </c>
      <c r="D7" s="17">
        <v>34280</v>
      </c>
      <c r="E7" s="17">
        <v>780</v>
      </c>
      <c r="F7" s="17">
        <f t="shared" ref="F7:F37" si="2">SUM(D7:E7)</f>
        <v>35060</v>
      </c>
      <c r="G7" s="2">
        <f t="shared" si="0"/>
        <v>1560</v>
      </c>
      <c r="H7" s="17">
        <v>0</v>
      </c>
      <c r="I7" s="17">
        <v>0</v>
      </c>
      <c r="J7" s="2">
        <f t="shared" si="1"/>
        <v>33500</v>
      </c>
    </row>
    <row r="8" spans="1:11" s="5" customFormat="1">
      <c r="A8" s="15">
        <v>3</v>
      </c>
      <c r="B8" t="s">
        <v>71</v>
      </c>
      <c r="C8" s="16" t="s">
        <v>15</v>
      </c>
      <c r="D8" s="17">
        <v>38780</v>
      </c>
      <c r="E8" s="17">
        <v>0</v>
      </c>
      <c r="F8" s="17">
        <f t="shared" si="2"/>
        <v>38780</v>
      </c>
      <c r="G8" s="2">
        <f t="shared" si="0"/>
        <v>0</v>
      </c>
      <c r="H8" s="17">
        <v>0</v>
      </c>
      <c r="I8" s="17">
        <v>0</v>
      </c>
      <c r="J8" s="2">
        <f t="shared" si="1"/>
        <v>38780</v>
      </c>
    </row>
    <row r="9" spans="1:11" s="6" customFormat="1">
      <c r="A9" s="18">
        <v>4</v>
      </c>
      <c r="B9" t="s">
        <v>75</v>
      </c>
      <c r="C9" s="19" t="s">
        <v>16</v>
      </c>
      <c r="D9" s="20">
        <v>35280</v>
      </c>
      <c r="E9" s="20">
        <v>780</v>
      </c>
      <c r="F9" s="20">
        <f t="shared" si="2"/>
        <v>36060</v>
      </c>
      <c r="G9" s="1">
        <f t="shared" si="0"/>
        <v>1560</v>
      </c>
      <c r="H9" s="20">
        <v>0</v>
      </c>
      <c r="I9" s="20">
        <v>20000</v>
      </c>
      <c r="J9" s="1">
        <f t="shared" si="1"/>
        <v>14500</v>
      </c>
    </row>
    <row r="10" spans="1:11" s="5" customFormat="1">
      <c r="A10" s="15">
        <v>6</v>
      </c>
      <c r="B10" t="s">
        <v>76</v>
      </c>
      <c r="C10" s="16" t="s">
        <v>17</v>
      </c>
      <c r="D10" s="17">
        <v>34280</v>
      </c>
      <c r="E10" s="17">
        <v>780</v>
      </c>
      <c r="F10" s="17">
        <f t="shared" si="2"/>
        <v>35060</v>
      </c>
      <c r="G10" s="2">
        <f t="shared" si="0"/>
        <v>1560</v>
      </c>
      <c r="H10" s="17">
        <v>0</v>
      </c>
      <c r="I10" s="17">
        <v>0</v>
      </c>
      <c r="J10" s="2">
        <f t="shared" si="1"/>
        <v>33500</v>
      </c>
    </row>
    <row r="11" spans="1:11" s="3" customFormat="1">
      <c r="A11" s="15">
        <v>7</v>
      </c>
      <c r="B11" t="s">
        <v>78</v>
      </c>
      <c r="C11" s="21" t="s">
        <v>18</v>
      </c>
      <c r="D11" s="22">
        <v>32280</v>
      </c>
      <c r="E11" s="17">
        <v>780</v>
      </c>
      <c r="F11" s="17">
        <f t="shared" si="2"/>
        <v>33060</v>
      </c>
      <c r="G11" s="2">
        <f t="shared" si="0"/>
        <v>1560</v>
      </c>
      <c r="H11" s="17">
        <v>0</v>
      </c>
      <c r="I11" s="17">
        <v>0</v>
      </c>
      <c r="J11" s="2">
        <f t="shared" si="1"/>
        <v>31500</v>
      </c>
    </row>
    <row r="12" spans="1:11" s="7" customFormat="1">
      <c r="A12" s="15">
        <v>8</v>
      </c>
      <c r="B12" t="s">
        <v>80</v>
      </c>
      <c r="C12" s="21" t="s">
        <v>19</v>
      </c>
      <c r="D12" s="22">
        <v>30780</v>
      </c>
      <c r="E12" s="17">
        <v>780</v>
      </c>
      <c r="F12" s="17">
        <f t="shared" si="2"/>
        <v>31560</v>
      </c>
      <c r="G12" s="2">
        <f t="shared" si="0"/>
        <v>1560</v>
      </c>
      <c r="H12" s="17">
        <v>0</v>
      </c>
      <c r="I12" s="17">
        <v>0</v>
      </c>
      <c r="J12" s="2">
        <f t="shared" si="1"/>
        <v>30000</v>
      </c>
      <c r="K12" s="23"/>
    </row>
    <row r="13" spans="1:11" s="7" customFormat="1">
      <c r="A13" s="15">
        <v>9</v>
      </c>
      <c r="B13" t="s">
        <v>79</v>
      </c>
      <c r="C13" s="21" t="s">
        <v>20</v>
      </c>
      <c r="D13" s="24">
        <v>30780</v>
      </c>
      <c r="E13" s="20">
        <v>780</v>
      </c>
      <c r="F13" s="17">
        <f t="shared" si="2"/>
        <v>31560</v>
      </c>
      <c r="G13" s="1">
        <f t="shared" si="0"/>
        <v>1560</v>
      </c>
      <c r="H13" s="20">
        <v>0</v>
      </c>
      <c r="I13" s="17">
        <v>0</v>
      </c>
      <c r="J13" s="1">
        <f t="shared" si="1"/>
        <v>30000</v>
      </c>
      <c r="K13" s="23"/>
    </row>
    <row r="14" spans="1:11" s="5" customFormat="1">
      <c r="A14" s="15">
        <v>11</v>
      </c>
      <c r="B14" t="s">
        <v>72</v>
      </c>
      <c r="C14" s="25" t="s">
        <v>21</v>
      </c>
      <c r="D14" s="17">
        <v>38280</v>
      </c>
      <c r="E14" s="17">
        <v>780</v>
      </c>
      <c r="F14" s="17">
        <f t="shared" si="2"/>
        <v>39060</v>
      </c>
      <c r="G14" s="2">
        <f t="shared" si="0"/>
        <v>1560</v>
      </c>
      <c r="H14" s="17">
        <f>6500</f>
        <v>6500</v>
      </c>
      <c r="I14" s="17">
        <v>0</v>
      </c>
      <c r="J14" s="2">
        <f t="shared" si="1"/>
        <v>31000</v>
      </c>
    </row>
    <row r="15" spans="1:11" s="8" customFormat="1">
      <c r="A15" s="15">
        <v>12</v>
      </c>
      <c r="B15" t="s">
        <v>83</v>
      </c>
      <c r="C15" s="26" t="s">
        <v>22</v>
      </c>
      <c r="D15" s="24">
        <v>30280</v>
      </c>
      <c r="E15" s="20">
        <v>780</v>
      </c>
      <c r="F15" s="17">
        <f t="shared" si="2"/>
        <v>31060</v>
      </c>
      <c r="G15" s="2">
        <f t="shared" ref="G15:G26" si="3">E15*2</f>
        <v>1560</v>
      </c>
      <c r="H15" s="20">
        <v>0</v>
      </c>
      <c r="I15" s="17">
        <v>0</v>
      </c>
      <c r="J15" s="2">
        <f t="shared" si="1"/>
        <v>29500</v>
      </c>
    </row>
    <row r="16" spans="1:11" s="3" customFormat="1">
      <c r="A16" s="15">
        <v>13</v>
      </c>
      <c r="B16" s="61"/>
      <c r="C16" s="26" t="s">
        <v>23</v>
      </c>
      <c r="D16" s="22">
        <v>31280</v>
      </c>
      <c r="E16" s="17">
        <v>780</v>
      </c>
      <c r="F16" s="17">
        <f t="shared" si="2"/>
        <v>32060</v>
      </c>
      <c r="G16" s="2">
        <f t="shared" si="3"/>
        <v>1560</v>
      </c>
      <c r="H16" s="17">
        <v>0</v>
      </c>
      <c r="I16" s="17">
        <v>0</v>
      </c>
      <c r="J16" s="2">
        <f t="shared" si="1"/>
        <v>30500</v>
      </c>
    </row>
    <row r="17" spans="1:10" s="3" customFormat="1">
      <c r="A17" s="15">
        <v>14</v>
      </c>
      <c r="B17" t="s">
        <v>82</v>
      </c>
      <c r="C17" s="21" t="s">
        <v>24</v>
      </c>
      <c r="D17" s="22">
        <v>30780</v>
      </c>
      <c r="E17" s="17">
        <v>780</v>
      </c>
      <c r="F17" s="17">
        <f t="shared" si="2"/>
        <v>31560</v>
      </c>
      <c r="G17" s="2">
        <f t="shared" si="3"/>
        <v>1560</v>
      </c>
      <c r="H17" s="17">
        <v>6500</v>
      </c>
      <c r="I17" s="17">
        <v>7000</v>
      </c>
      <c r="J17" s="2">
        <f t="shared" si="1"/>
        <v>16500</v>
      </c>
    </row>
    <row r="18" spans="1:10" s="3" customFormat="1">
      <c r="A18" s="15">
        <v>15</v>
      </c>
      <c r="B18" s="61"/>
      <c r="C18" s="21" t="s">
        <v>25</v>
      </c>
      <c r="D18" s="22">
        <v>25000</v>
      </c>
      <c r="E18" s="17">
        <v>0</v>
      </c>
      <c r="F18" s="17">
        <f t="shared" si="2"/>
        <v>25000</v>
      </c>
      <c r="G18" s="2">
        <f t="shared" si="3"/>
        <v>0</v>
      </c>
      <c r="H18" s="17">
        <v>0</v>
      </c>
      <c r="I18" s="17">
        <v>0</v>
      </c>
      <c r="J18" s="2">
        <f t="shared" si="1"/>
        <v>25000</v>
      </c>
    </row>
    <row r="19" spans="1:10" s="3" customFormat="1">
      <c r="A19" s="15">
        <v>16</v>
      </c>
      <c r="B19" t="s">
        <v>84</v>
      </c>
      <c r="C19" s="21" t="s">
        <v>26</v>
      </c>
      <c r="D19" s="22">
        <v>28780</v>
      </c>
      <c r="E19" s="17">
        <v>780</v>
      </c>
      <c r="F19" s="17">
        <f t="shared" si="2"/>
        <v>29560</v>
      </c>
      <c r="G19" s="2">
        <f t="shared" si="3"/>
        <v>1560</v>
      </c>
      <c r="H19" s="17">
        <v>0</v>
      </c>
      <c r="I19" s="17">
        <v>10000</v>
      </c>
      <c r="J19" s="2">
        <f t="shared" si="1"/>
        <v>18000</v>
      </c>
    </row>
    <row r="20" spans="1:10" s="3" customFormat="1">
      <c r="A20" s="15">
        <v>17</v>
      </c>
      <c r="B20" t="s">
        <v>89</v>
      </c>
      <c r="C20" s="21" t="s">
        <v>27</v>
      </c>
      <c r="D20" s="22">
        <v>28280</v>
      </c>
      <c r="E20" s="17">
        <v>780</v>
      </c>
      <c r="F20" s="17">
        <f t="shared" si="2"/>
        <v>29060</v>
      </c>
      <c r="G20" s="2">
        <f t="shared" si="3"/>
        <v>1560</v>
      </c>
      <c r="H20" s="17">
        <v>0</v>
      </c>
      <c r="I20" s="17">
        <v>7000</v>
      </c>
      <c r="J20" s="2">
        <f t="shared" si="1"/>
        <v>20500</v>
      </c>
    </row>
    <row r="21" spans="1:10" s="3" customFormat="1">
      <c r="A21" s="15">
        <v>18</v>
      </c>
      <c r="B21" t="s">
        <v>85</v>
      </c>
      <c r="C21" s="21" t="s">
        <v>28</v>
      </c>
      <c r="D21" s="22">
        <v>28280</v>
      </c>
      <c r="E21" s="17">
        <v>780</v>
      </c>
      <c r="F21" s="17">
        <f t="shared" si="2"/>
        <v>29060</v>
      </c>
      <c r="G21" s="2">
        <f t="shared" si="3"/>
        <v>1560</v>
      </c>
      <c r="H21" s="17">
        <v>0</v>
      </c>
      <c r="I21" s="17">
        <v>0</v>
      </c>
      <c r="J21" s="2">
        <f t="shared" si="1"/>
        <v>27500</v>
      </c>
    </row>
    <row r="22" spans="1:10" s="3" customFormat="1">
      <c r="A22" s="15">
        <v>19</v>
      </c>
      <c r="B22" s="63" t="s">
        <v>90</v>
      </c>
      <c r="C22" s="21" t="s">
        <v>29</v>
      </c>
      <c r="D22" s="22">
        <v>28280</v>
      </c>
      <c r="E22" s="17">
        <v>780</v>
      </c>
      <c r="F22" s="17">
        <f t="shared" si="2"/>
        <v>29060</v>
      </c>
      <c r="G22" s="2">
        <f t="shared" si="3"/>
        <v>1560</v>
      </c>
      <c r="H22" s="17">
        <v>0</v>
      </c>
      <c r="I22" s="17">
        <v>0</v>
      </c>
      <c r="J22" s="2">
        <f t="shared" si="1"/>
        <v>27500</v>
      </c>
    </row>
    <row r="23" spans="1:10" s="3" customFormat="1">
      <c r="A23" s="15">
        <v>20</v>
      </c>
      <c r="B23" t="s">
        <v>88</v>
      </c>
      <c r="C23" s="21" t="s">
        <v>30</v>
      </c>
      <c r="D23" s="22">
        <v>28280</v>
      </c>
      <c r="E23" s="17">
        <v>780</v>
      </c>
      <c r="F23" s="17">
        <f t="shared" si="2"/>
        <v>29060</v>
      </c>
      <c r="G23" s="2">
        <f t="shared" si="3"/>
        <v>1560</v>
      </c>
      <c r="H23" s="17">
        <v>6500</v>
      </c>
      <c r="I23" s="17">
        <v>0</v>
      </c>
      <c r="J23" s="2">
        <f t="shared" si="1"/>
        <v>21000</v>
      </c>
    </row>
    <row r="24" spans="1:10" s="3" customFormat="1" ht="22.5">
      <c r="A24" s="15">
        <v>21</v>
      </c>
      <c r="B24" t="s">
        <v>86</v>
      </c>
      <c r="C24" s="21" t="s">
        <v>31</v>
      </c>
      <c r="D24" s="22">
        <v>28280</v>
      </c>
      <c r="E24" s="17">
        <v>780</v>
      </c>
      <c r="F24" s="17">
        <f t="shared" si="2"/>
        <v>29060</v>
      </c>
      <c r="G24" s="2">
        <f t="shared" si="3"/>
        <v>1560</v>
      </c>
      <c r="H24" s="20">
        <v>0</v>
      </c>
      <c r="I24" s="17">
        <v>0</v>
      </c>
      <c r="J24" s="2">
        <f t="shared" si="1"/>
        <v>27500</v>
      </c>
    </row>
    <row r="25" spans="1:10" s="3" customFormat="1">
      <c r="A25" s="15">
        <v>22</v>
      </c>
      <c r="B25" s="63" t="s">
        <v>81</v>
      </c>
      <c r="C25" s="21" t="s">
        <v>32</v>
      </c>
      <c r="D25" s="22">
        <v>30780</v>
      </c>
      <c r="E25" s="17">
        <v>780</v>
      </c>
      <c r="F25" s="17">
        <f t="shared" si="2"/>
        <v>31560</v>
      </c>
      <c r="G25" s="2">
        <f t="shared" si="3"/>
        <v>1560</v>
      </c>
      <c r="H25" s="17">
        <v>0</v>
      </c>
      <c r="I25" s="17">
        <v>0</v>
      </c>
      <c r="J25" s="2">
        <f t="shared" si="1"/>
        <v>30000</v>
      </c>
    </row>
    <row r="26" spans="1:10" s="3" customFormat="1" ht="14.25" customHeight="1">
      <c r="A26" s="15">
        <v>23</v>
      </c>
      <c r="B26" t="s">
        <v>92</v>
      </c>
      <c r="C26" s="27" t="s">
        <v>33</v>
      </c>
      <c r="D26" s="28">
        <v>26500</v>
      </c>
      <c r="E26" s="17">
        <v>0</v>
      </c>
      <c r="F26" s="17">
        <f t="shared" si="2"/>
        <v>26500</v>
      </c>
      <c r="G26" s="2">
        <f t="shared" si="3"/>
        <v>0</v>
      </c>
      <c r="H26" s="17">
        <v>0</v>
      </c>
      <c r="I26" s="17">
        <v>7000</v>
      </c>
      <c r="J26" s="2">
        <f t="shared" si="1"/>
        <v>19500</v>
      </c>
    </row>
    <row r="27" spans="1:10" s="3" customFormat="1">
      <c r="A27" s="15">
        <v>24</v>
      </c>
      <c r="B27" t="s">
        <v>95</v>
      </c>
      <c r="C27" s="29" t="s">
        <v>34</v>
      </c>
      <c r="D27" s="28">
        <v>26050</v>
      </c>
      <c r="E27" s="30">
        <v>0</v>
      </c>
      <c r="F27" s="17">
        <f t="shared" si="2"/>
        <v>26050</v>
      </c>
      <c r="G27" s="2">
        <v>0</v>
      </c>
      <c r="H27" s="17">
        <v>0</v>
      </c>
      <c r="I27" s="17">
        <v>0</v>
      </c>
      <c r="J27" s="2">
        <f t="shared" ref="J27:J37" si="4">F27-G27-H27-I27</f>
        <v>26050</v>
      </c>
    </row>
    <row r="28" spans="1:10" s="3" customFormat="1">
      <c r="A28" s="15">
        <v>25</v>
      </c>
      <c r="B28" t="s">
        <v>94</v>
      </c>
      <c r="C28" s="27" t="s">
        <v>35</v>
      </c>
      <c r="D28" s="28">
        <v>27000</v>
      </c>
      <c r="E28" s="30">
        <v>0</v>
      </c>
      <c r="F28" s="17">
        <f t="shared" si="2"/>
        <v>27000</v>
      </c>
      <c r="G28" s="2">
        <v>0</v>
      </c>
      <c r="H28" s="17">
        <v>3250</v>
      </c>
      <c r="I28" s="17">
        <v>0</v>
      </c>
      <c r="J28" s="2">
        <f t="shared" si="4"/>
        <v>23750</v>
      </c>
    </row>
    <row r="29" spans="1:10" s="3" customFormat="1">
      <c r="A29" s="15">
        <v>26</v>
      </c>
      <c r="B29" t="s">
        <v>97</v>
      </c>
      <c r="C29" s="29" t="s">
        <v>36</v>
      </c>
      <c r="D29" s="28">
        <v>26500</v>
      </c>
      <c r="E29" s="30">
        <v>780</v>
      </c>
      <c r="F29" s="17">
        <f t="shared" si="2"/>
        <v>27280</v>
      </c>
      <c r="G29" s="2">
        <v>1560</v>
      </c>
      <c r="H29" s="17">
        <v>0</v>
      </c>
      <c r="I29" s="17">
        <v>0</v>
      </c>
      <c r="J29" s="2">
        <f t="shared" si="4"/>
        <v>25720</v>
      </c>
    </row>
    <row r="30" spans="1:10" s="3" customFormat="1" ht="14.25" customHeight="1">
      <c r="A30" s="15">
        <v>27</v>
      </c>
      <c r="B30" t="s">
        <v>96</v>
      </c>
      <c r="C30" s="29" t="s">
        <v>37</v>
      </c>
      <c r="D30" s="28">
        <v>25500</v>
      </c>
      <c r="E30" s="30">
        <v>780</v>
      </c>
      <c r="F30" s="17">
        <f t="shared" si="2"/>
        <v>26280</v>
      </c>
      <c r="G30" s="2">
        <v>1560</v>
      </c>
      <c r="H30" s="17">
        <v>0</v>
      </c>
      <c r="I30" s="17">
        <v>8500</v>
      </c>
      <c r="J30" s="2">
        <f t="shared" si="4"/>
        <v>16220</v>
      </c>
    </row>
    <row r="31" spans="1:10" s="3" customFormat="1">
      <c r="A31" s="15">
        <v>28</v>
      </c>
      <c r="B31" t="s">
        <v>100</v>
      </c>
      <c r="C31" s="29" t="s">
        <v>38</v>
      </c>
      <c r="D31" s="28">
        <v>26000</v>
      </c>
      <c r="E31" s="30">
        <v>0</v>
      </c>
      <c r="F31" s="17">
        <f t="shared" si="2"/>
        <v>26000</v>
      </c>
      <c r="G31" s="31">
        <v>0</v>
      </c>
      <c r="H31" s="17">
        <v>0</v>
      </c>
      <c r="I31" s="17">
        <v>8000</v>
      </c>
      <c r="J31" s="32">
        <f t="shared" si="4"/>
        <v>18000</v>
      </c>
    </row>
    <row r="32" spans="1:10" s="3" customFormat="1">
      <c r="A32" s="15">
        <v>29</v>
      </c>
      <c r="B32" s="63" t="s">
        <v>98</v>
      </c>
      <c r="C32" s="29" t="s">
        <v>39</v>
      </c>
      <c r="D32" s="28">
        <v>26000</v>
      </c>
      <c r="E32" s="30">
        <v>0</v>
      </c>
      <c r="F32" s="17">
        <f t="shared" si="2"/>
        <v>26000</v>
      </c>
      <c r="G32" s="31">
        <v>0</v>
      </c>
      <c r="H32" s="17">
        <v>0</v>
      </c>
      <c r="I32" s="17">
        <v>0</v>
      </c>
      <c r="J32" s="32">
        <f t="shared" si="4"/>
        <v>26000</v>
      </c>
    </row>
    <row r="33" spans="1:10" s="3" customFormat="1">
      <c r="A33" s="15">
        <v>30</v>
      </c>
      <c r="B33" s="62"/>
      <c r="C33" s="29" t="s">
        <v>40</v>
      </c>
      <c r="D33" s="28">
        <v>25000</v>
      </c>
      <c r="E33" s="30">
        <v>0</v>
      </c>
      <c r="F33" s="17">
        <f t="shared" si="2"/>
        <v>25000</v>
      </c>
      <c r="G33" s="31">
        <v>0</v>
      </c>
      <c r="H33" s="17">
        <v>0</v>
      </c>
      <c r="I33" s="17">
        <v>0</v>
      </c>
      <c r="J33" s="32">
        <f t="shared" si="4"/>
        <v>25000</v>
      </c>
    </row>
    <row r="34" spans="1:10" s="3" customFormat="1">
      <c r="A34" s="15">
        <v>31</v>
      </c>
      <c r="B34" s="62"/>
      <c r="C34" s="29" t="s">
        <v>41</v>
      </c>
      <c r="D34" s="33">
        <v>25000</v>
      </c>
      <c r="E34" s="30">
        <v>0</v>
      </c>
      <c r="F34" s="17">
        <f t="shared" si="2"/>
        <v>25000</v>
      </c>
      <c r="G34" s="31">
        <v>0</v>
      </c>
      <c r="H34" s="17">
        <v>0</v>
      </c>
      <c r="I34" s="17">
        <v>5000</v>
      </c>
      <c r="J34" s="32">
        <f t="shared" si="4"/>
        <v>20000</v>
      </c>
    </row>
    <row r="35" spans="1:10" s="3" customFormat="1">
      <c r="A35" s="15">
        <v>32</v>
      </c>
      <c r="B35" t="s">
        <v>102</v>
      </c>
      <c r="C35" s="29" t="s">
        <v>42</v>
      </c>
      <c r="D35" s="33">
        <v>25000</v>
      </c>
      <c r="E35" s="30">
        <v>0</v>
      </c>
      <c r="F35" s="17">
        <f t="shared" si="2"/>
        <v>25000</v>
      </c>
      <c r="G35" s="31">
        <v>0</v>
      </c>
      <c r="H35" s="17">
        <v>0</v>
      </c>
      <c r="I35" s="17">
        <v>0</v>
      </c>
      <c r="J35" s="32">
        <f t="shared" si="4"/>
        <v>25000</v>
      </c>
    </row>
    <row r="36" spans="1:10" s="3" customFormat="1">
      <c r="A36" s="15">
        <v>33</v>
      </c>
      <c r="B36" t="s">
        <v>101</v>
      </c>
      <c r="C36" s="29" t="s">
        <v>43</v>
      </c>
      <c r="D36" s="33">
        <v>25000</v>
      </c>
      <c r="E36" s="30">
        <v>0</v>
      </c>
      <c r="F36" s="17">
        <f t="shared" si="2"/>
        <v>25000</v>
      </c>
      <c r="G36" s="31">
        <v>0</v>
      </c>
      <c r="H36" s="17">
        <v>0</v>
      </c>
      <c r="I36" s="17">
        <v>0</v>
      </c>
      <c r="J36" s="32">
        <f t="shared" si="4"/>
        <v>25000</v>
      </c>
    </row>
    <row r="37" spans="1:10" s="3" customFormat="1">
      <c r="A37" s="15">
        <v>34</v>
      </c>
      <c r="B37" s="62"/>
      <c r="C37" s="29" t="s">
        <v>44</v>
      </c>
      <c r="D37" s="33">
        <v>30000</v>
      </c>
      <c r="E37" s="30">
        <v>0</v>
      </c>
      <c r="F37" s="17">
        <f t="shared" si="2"/>
        <v>30000</v>
      </c>
      <c r="G37" s="31">
        <v>0</v>
      </c>
      <c r="H37" s="17">
        <v>0</v>
      </c>
      <c r="I37" s="17">
        <v>0</v>
      </c>
      <c r="J37" s="32">
        <f t="shared" si="4"/>
        <v>30000</v>
      </c>
    </row>
    <row r="38" spans="1:10" s="3" customFormat="1">
      <c r="A38" s="15">
        <v>35</v>
      </c>
      <c r="B38" s="15"/>
      <c r="C38" s="34" t="s">
        <v>45</v>
      </c>
      <c r="D38" s="33">
        <v>24500</v>
      </c>
      <c r="E38" s="30">
        <v>0</v>
      </c>
      <c r="F38" s="17">
        <f t="shared" ref="F38:F53" si="5">SUM(D38:E38)</f>
        <v>24500</v>
      </c>
      <c r="G38" s="31">
        <v>0</v>
      </c>
      <c r="H38" s="17">
        <v>0</v>
      </c>
      <c r="I38" s="17">
        <v>0</v>
      </c>
      <c r="J38" s="32">
        <f t="shared" ref="J38:J53" si="6">F38-G38-H38-I38</f>
        <v>24500</v>
      </c>
    </row>
    <row r="39" spans="1:10" s="3" customFormat="1">
      <c r="A39" s="15">
        <v>36</v>
      </c>
      <c r="B39" s="15"/>
      <c r="C39" s="35" t="s">
        <v>46</v>
      </c>
      <c r="D39" s="33">
        <v>24500</v>
      </c>
      <c r="E39" s="30">
        <v>0</v>
      </c>
      <c r="F39" s="17">
        <f t="shared" si="5"/>
        <v>24500</v>
      </c>
      <c r="G39" s="31">
        <v>0</v>
      </c>
      <c r="H39" s="17">
        <v>0</v>
      </c>
      <c r="I39" s="17">
        <v>0</v>
      </c>
      <c r="J39" s="32">
        <f t="shared" si="6"/>
        <v>24500</v>
      </c>
    </row>
    <row r="40" spans="1:10" s="3" customFormat="1">
      <c r="A40" s="15">
        <v>37</v>
      </c>
      <c r="B40" t="s">
        <v>93</v>
      </c>
      <c r="C40" s="36" t="s">
        <v>47</v>
      </c>
      <c r="D40" s="17">
        <v>24000</v>
      </c>
      <c r="E40" s="30">
        <v>0</v>
      </c>
      <c r="F40" s="17">
        <f t="shared" si="5"/>
        <v>24000</v>
      </c>
      <c r="G40" s="31">
        <v>0</v>
      </c>
      <c r="H40" s="17">
        <v>0</v>
      </c>
      <c r="I40" s="17">
        <v>0</v>
      </c>
      <c r="J40" s="32">
        <f t="shared" si="6"/>
        <v>24000</v>
      </c>
    </row>
    <row r="41" spans="1:10" s="3" customFormat="1">
      <c r="A41" s="15">
        <v>38</v>
      </c>
      <c r="B41" t="s">
        <v>91</v>
      </c>
      <c r="C41" s="36" t="s">
        <v>48</v>
      </c>
      <c r="D41" s="17">
        <v>24000</v>
      </c>
      <c r="E41" s="30">
        <v>0</v>
      </c>
      <c r="F41" s="17">
        <f t="shared" si="5"/>
        <v>24000</v>
      </c>
      <c r="G41" s="31">
        <v>0</v>
      </c>
      <c r="H41" s="17">
        <v>0</v>
      </c>
      <c r="I41" s="17">
        <v>10000</v>
      </c>
      <c r="J41" s="32">
        <f t="shared" si="6"/>
        <v>14000</v>
      </c>
    </row>
    <row r="42" spans="1:10" s="3" customFormat="1">
      <c r="A42" s="15">
        <v>39</v>
      </c>
      <c r="B42" s="15"/>
      <c r="C42" s="36" t="s">
        <v>49</v>
      </c>
      <c r="D42" s="17">
        <v>24000</v>
      </c>
      <c r="E42" s="30">
        <v>0</v>
      </c>
      <c r="F42" s="17">
        <f t="shared" si="5"/>
        <v>24000</v>
      </c>
      <c r="G42" s="31">
        <v>0</v>
      </c>
      <c r="H42" s="17">
        <v>0</v>
      </c>
      <c r="I42" s="17">
        <v>0</v>
      </c>
      <c r="J42" s="32">
        <f t="shared" si="6"/>
        <v>24000</v>
      </c>
    </row>
    <row r="43" spans="1:10" s="3" customFormat="1">
      <c r="A43" s="15">
        <v>40</v>
      </c>
      <c r="B43" s="15"/>
      <c r="C43" s="36" t="s">
        <v>50</v>
      </c>
      <c r="D43" s="17">
        <v>24000</v>
      </c>
      <c r="E43" s="30">
        <v>0</v>
      </c>
      <c r="F43" s="17">
        <f t="shared" si="5"/>
        <v>24000</v>
      </c>
      <c r="G43" s="31">
        <v>0</v>
      </c>
      <c r="H43" s="17">
        <v>0</v>
      </c>
      <c r="I43" s="17">
        <v>0</v>
      </c>
      <c r="J43" s="32">
        <f t="shared" si="6"/>
        <v>24000</v>
      </c>
    </row>
    <row r="44" spans="1:10" s="3" customFormat="1">
      <c r="A44" s="15">
        <v>41</v>
      </c>
      <c r="B44" s="15"/>
      <c r="C44" s="34" t="s">
        <v>51</v>
      </c>
      <c r="D44" s="17">
        <v>24000</v>
      </c>
      <c r="E44" s="30">
        <v>0</v>
      </c>
      <c r="F44" s="17">
        <f t="shared" si="5"/>
        <v>24000</v>
      </c>
      <c r="G44" s="31">
        <v>0</v>
      </c>
      <c r="H44" s="17">
        <v>0</v>
      </c>
      <c r="I44" s="17">
        <v>0</v>
      </c>
      <c r="J44" s="32">
        <f t="shared" si="6"/>
        <v>24000</v>
      </c>
    </row>
    <row r="45" spans="1:10" s="3" customFormat="1" ht="22.5">
      <c r="A45" s="15">
        <v>42</v>
      </c>
      <c r="B45" s="15"/>
      <c r="C45" s="34" t="s">
        <v>52</v>
      </c>
      <c r="D45" s="17">
        <v>24000</v>
      </c>
      <c r="E45" s="30">
        <v>0</v>
      </c>
      <c r="F45" s="17">
        <f t="shared" si="5"/>
        <v>24000</v>
      </c>
      <c r="G45" s="31">
        <v>0</v>
      </c>
      <c r="H45" s="17">
        <v>0</v>
      </c>
      <c r="I45" s="17">
        <v>0</v>
      </c>
      <c r="J45" s="32">
        <f t="shared" si="6"/>
        <v>24000</v>
      </c>
    </row>
    <row r="46" spans="1:10" s="3" customFormat="1">
      <c r="A46" s="15">
        <v>43</v>
      </c>
      <c r="B46" s="15"/>
      <c r="C46" s="34" t="s">
        <v>53</v>
      </c>
      <c r="D46" s="17">
        <v>24000</v>
      </c>
      <c r="E46" s="30">
        <v>0</v>
      </c>
      <c r="F46" s="17">
        <f t="shared" si="5"/>
        <v>24000</v>
      </c>
      <c r="G46" s="31">
        <v>0</v>
      </c>
      <c r="H46" s="17">
        <v>0</v>
      </c>
      <c r="I46" s="17">
        <v>0</v>
      </c>
      <c r="J46" s="32">
        <f t="shared" si="6"/>
        <v>24000</v>
      </c>
    </row>
    <row r="47" spans="1:10" s="3" customFormat="1">
      <c r="A47" s="15">
        <v>44</v>
      </c>
      <c r="B47" s="15"/>
      <c r="C47" s="34" t="s">
        <v>54</v>
      </c>
      <c r="D47" s="17">
        <v>20000</v>
      </c>
      <c r="E47" s="30">
        <v>0</v>
      </c>
      <c r="F47" s="17">
        <f t="shared" si="5"/>
        <v>20000</v>
      </c>
      <c r="G47" s="31">
        <v>0</v>
      </c>
      <c r="H47" s="17">
        <v>0</v>
      </c>
      <c r="I47" s="17">
        <v>0</v>
      </c>
      <c r="J47" s="32">
        <f t="shared" si="6"/>
        <v>20000</v>
      </c>
    </row>
    <row r="48" spans="1:10" s="3" customFormat="1">
      <c r="A48" s="15">
        <v>45</v>
      </c>
      <c r="B48" s="15"/>
      <c r="C48" s="34" t="s">
        <v>55</v>
      </c>
      <c r="D48" s="17">
        <v>20000</v>
      </c>
      <c r="E48" s="30">
        <v>0</v>
      </c>
      <c r="F48" s="17">
        <f t="shared" si="5"/>
        <v>20000</v>
      </c>
      <c r="G48" s="31">
        <v>0</v>
      </c>
      <c r="H48" s="17">
        <v>0</v>
      </c>
      <c r="I48" s="17">
        <v>0</v>
      </c>
      <c r="J48" s="32">
        <f t="shared" si="6"/>
        <v>20000</v>
      </c>
    </row>
    <row r="49" spans="1:10" s="3" customFormat="1">
      <c r="A49" s="15">
        <v>46</v>
      </c>
      <c r="B49" s="15"/>
      <c r="C49" s="34" t="s">
        <v>56</v>
      </c>
      <c r="D49" s="17">
        <v>15000</v>
      </c>
      <c r="E49" s="30">
        <v>0</v>
      </c>
      <c r="F49" s="17">
        <f t="shared" si="5"/>
        <v>15000</v>
      </c>
      <c r="G49" s="31">
        <v>0</v>
      </c>
      <c r="H49" s="17">
        <v>0</v>
      </c>
      <c r="I49" s="17">
        <v>0</v>
      </c>
      <c r="J49" s="32">
        <f t="shared" si="6"/>
        <v>15000</v>
      </c>
    </row>
    <row r="50" spans="1:10" s="3" customFormat="1">
      <c r="A50" s="15">
        <v>47</v>
      </c>
      <c r="B50" s="15"/>
      <c r="C50" s="34" t="s">
        <v>57</v>
      </c>
      <c r="D50" s="17">
        <v>24000</v>
      </c>
      <c r="E50" s="30">
        <v>0</v>
      </c>
      <c r="F50" s="17">
        <f t="shared" si="5"/>
        <v>24000</v>
      </c>
      <c r="G50" s="31">
        <v>0</v>
      </c>
      <c r="H50" s="17">
        <v>0</v>
      </c>
      <c r="I50" s="17">
        <v>0</v>
      </c>
      <c r="J50" s="32">
        <f t="shared" si="6"/>
        <v>24000</v>
      </c>
    </row>
    <row r="51" spans="1:10" s="3" customFormat="1">
      <c r="A51" s="15">
        <v>48</v>
      </c>
      <c r="B51" s="15"/>
      <c r="C51" s="34" t="s">
        <v>58</v>
      </c>
      <c r="D51" s="17">
        <v>15000</v>
      </c>
      <c r="E51" s="30">
        <v>0</v>
      </c>
      <c r="F51" s="17">
        <f t="shared" si="5"/>
        <v>15000</v>
      </c>
      <c r="G51" s="31">
        <v>0</v>
      </c>
      <c r="H51" s="17">
        <v>0</v>
      </c>
      <c r="I51" s="17">
        <v>0</v>
      </c>
      <c r="J51" s="32">
        <f t="shared" si="6"/>
        <v>15000</v>
      </c>
    </row>
    <row r="52" spans="1:10" s="3" customFormat="1">
      <c r="A52" s="15">
        <v>49</v>
      </c>
      <c r="B52" s="15"/>
      <c r="C52" s="34" t="s">
        <v>59</v>
      </c>
      <c r="D52" s="17">
        <v>20000</v>
      </c>
      <c r="E52" s="30">
        <v>0</v>
      </c>
      <c r="F52" s="17">
        <f t="shared" si="5"/>
        <v>20000</v>
      </c>
      <c r="G52" s="31">
        <v>0</v>
      </c>
      <c r="H52" s="17">
        <v>0</v>
      </c>
      <c r="I52" s="17">
        <v>0</v>
      </c>
      <c r="J52" s="32">
        <f t="shared" si="6"/>
        <v>20000</v>
      </c>
    </row>
    <row r="53" spans="1:10" s="3" customFormat="1">
      <c r="A53" s="15">
        <v>50</v>
      </c>
      <c r="B53" s="15"/>
      <c r="C53" s="34" t="s">
        <v>60</v>
      </c>
      <c r="D53" s="17">
        <v>20000</v>
      </c>
      <c r="E53" s="30">
        <v>0</v>
      </c>
      <c r="F53" s="17">
        <f t="shared" si="5"/>
        <v>20000</v>
      </c>
      <c r="G53" s="31">
        <v>0</v>
      </c>
      <c r="H53" s="17">
        <v>0</v>
      </c>
      <c r="I53" s="17">
        <v>0</v>
      </c>
      <c r="J53" s="32">
        <f t="shared" si="6"/>
        <v>20000</v>
      </c>
    </row>
    <row r="54" spans="1:10" s="3" customFormat="1">
      <c r="A54" s="15">
        <v>51</v>
      </c>
      <c r="B54" s="15"/>
      <c r="C54" s="34" t="s">
        <v>61</v>
      </c>
      <c r="D54" s="17">
        <v>20000</v>
      </c>
      <c r="E54" s="30">
        <v>0</v>
      </c>
      <c r="F54" s="17">
        <f>SUM(D54:E54)</f>
        <v>20000</v>
      </c>
      <c r="G54" s="31">
        <v>0</v>
      </c>
      <c r="H54" s="17">
        <v>0</v>
      </c>
      <c r="I54" s="17">
        <v>0</v>
      </c>
      <c r="J54" s="32">
        <f>F54-G54-H54-I54</f>
        <v>20000</v>
      </c>
    </row>
    <row r="55" spans="1:10" s="3" customFormat="1">
      <c r="A55" s="15">
        <v>52</v>
      </c>
      <c r="B55" s="15"/>
      <c r="C55" s="37" t="s">
        <v>62</v>
      </c>
      <c r="D55" s="17">
        <v>20000</v>
      </c>
      <c r="E55" s="30">
        <v>0</v>
      </c>
      <c r="F55" s="17">
        <v>20000</v>
      </c>
      <c r="G55" s="31">
        <v>0</v>
      </c>
      <c r="H55" s="17">
        <v>0</v>
      </c>
      <c r="I55" s="17">
        <v>0</v>
      </c>
      <c r="J55" s="32">
        <f>F55-G55-H55-I55</f>
        <v>20000</v>
      </c>
    </row>
    <row r="56" spans="1:10" s="3" customFormat="1">
      <c r="A56" s="15">
        <v>53</v>
      </c>
      <c r="B56" s="15"/>
      <c r="C56" s="34" t="s">
        <v>63</v>
      </c>
      <c r="D56" s="17">
        <v>20000</v>
      </c>
      <c r="E56" s="30">
        <v>0</v>
      </c>
      <c r="F56" s="17">
        <v>20000</v>
      </c>
      <c r="G56" s="31">
        <v>0</v>
      </c>
      <c r="H56" s="17">
        <v>0</v>
      </c>
      <c r="I56" s="17">
        <v>0</v>
      </c>
      <c r="J56" s="32">
        <f>F56-G56-H56-I56</f>
        <v>20000</v>
      </c>
    </row>
    <row r="57" spans="1:10" s="3" customFormat="1">
      <c r="A57" s="50" t="s">
        <v>64</v>
      </c>
      <c r="B57" s="50"/>
      <c r="C57" s="50"/>
      <c r="D57" s="38">
        <f t="shared" ref="D57:J57" si="7">SUM(D6:D56)</f>
        <v>1352870</v>
      </c>
      <c r="E57" s="39">
        <f t="shared" si="7"/>
        <v>15600</v>
      </c>
      <c r="F57" s="40">
        <f t="shared" si="7"/>
        <v>1368470</v>
      </c>
      <c r="G57" s="41">
        <f t="shared" si="7"/>
        <v>31200</v>
      </c>
      <c r="H57" s="41">
        <f t="shared" si="7"/>
        <v>22750</v>
      </c>
      <c r="I57" s="22">
        <f t="shared" si="7"/>
        <v>82500</v>
      </c>
      <c r="J57" s="42">
        <f t="shared" si="7"/>
        <v>1232020</v>
      </c>
    </row>
  </sheetData>
  <mergeCells count="12">
    <mergeCell ref="A1:J1"/>
    <mergeCell ref="A2:J2"/>
    <mergeCell ref="A3:J3"/>
    <mergeCell ref="G4:H4"/>
    <mergeCell ref="A57:C57"/>
    <mergeCell ref="A4:A5"/>
    <mergeCell ref="C4:C5"/>
    <mergeCell ref="D4:D5"/>
    <mergeCell ref="E4:E5"/>
    <mergeCell ref="F4:F5"/>
    <mergeCell ref="I4:I5"/>
    <mergeCell ref="J4:J5"/>
  </mergeCells>
  <pageMargins left="0.86597222222222203" right="0" top="0.31458333333333299" bottom="0" header="0.196527777777778" footer="0"/>
  <pageSetup paperSize="9" scale="85" orientation="portrait" blackAndWhite="1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836E-A30E-4D43-97A8-262F1B0EDE10}">
  <dimension ref="A1:K25"/>
  <sheetViews>
    <sheetView workbookViewId="0">
      <selection sqref="A1:K25"/>
    </sheetView>
  </sheetViews>
  <sheetFormatPr defaultRowHeight="15"/>
  <sheetData>
    <row r="1" spans="1:11">
      <c r="A1" s="64" t="s">
        <v>103</v>
      </c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>
      <c r="A2" s="66" t="s">
        <v>104</v>
      </c>
      <c r="B2" s="66"/>
      <c r="C2" s="66"/>
      <c r="D2" s="66"/>
      <c r="E2" s="66"/>
      <c r="F2" s="66"/>
      <c r="G2" s="66"/>
      <c r="H2" s="66"/>
      <c r="I2" s="66"/>
      <c r="J2" s="66"/>
      <c r="K2" s="65"/>
    </row>
    <row r="3" spans="1:11">
      <c r="A3" s="67" t="s">
        <v>105</v>
      </c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42.75">
      <c r="A4" s="69" t="s">
        <v>106</v>
      </c>
      <c r="B4" s="69" t="s">
        <v>107</v>
      </c>
      <c r="C4" s="69" t="s">
        <v>65</v>
      </c>
      <c r="D4" s="70" t="s">
        <v>108</v>
      </c>
      <c r="E4" s="70" t="s">
        <v>109</v>
      </c>
      <c r="F4" s="69" t="s">
        <v>110</v>
      </c>
      <c r="G4" s="71" t="s">
        <v>70</v>
      </c>
      <c r="H4" s="71" t="s">
        <v>111</v>
      </c>
      <c r="I4" s="71" t="s">
        <v>112</v>
      </c>
      <c r="J4" s="72" t="s">
        <v>113</v>
      </c>
      <c r="K4" s="73" t="s">
        <v>114</v>
      </c>
    </row>
    <row r="5" spans="1:11">
      <c r="A5" s="74">
        <v>1</v>
      </c>
      <c r="B5" s="75" t="s">
        <v>115</v>
      </c>
      <c r="C5" s="76">
        <v>113800</v>
      </c>
      <c r="D5" s="76">
        <f>ROUND(C5*0.58,0)</f>
        <v>66004</v>
      </c>
      <c r="E5" s="76">
        <f>ROUND(C5*0.1,0)</f>
        <v>11380</v>
      </c>
      <c r="F5" s="77">
        <f t="shared" ref="F5:F23" si="0">ROUNDUP(SUM(C5:E5),0)</f>
        <v>191184</v>
      </c>
      <c r="G5" s="74">
        <f>E5*2</f>
        <v>22760</v>
      </c>
      <c r="H5" s="78">
        <v>0</v>
      </c>
      <c r="I5" s="79"/>
      <c r="J5" s="79"/>
      <c r="K5" s="80">
        <f>F5-SUM(G5:J5)</f>
        <v>168424</v>
      </c>
    </row>
    <row r="6" spans="1:11">
      <c r="A6" s="74">
        <v>2</v>
      </c>
      <c r="B6" s="75" t="s">
        <v>116</v>
      </c>
      <c r="C6" s="76">
        <v>187300</v>
      </c>
      <c r="D6" s="76">
        <f t="shared" ref="D6:D23" si="1">ROUND(C6*0.58,0)</f>
        <v>108634</v>
      </c>
      <c r="E6" s="76">
        <f t="shared" ref="E6:E13" si="2">ROUND(C6*0.1,0)</f>
        <v>18730</v>
      </c>
      <c r="F6" s="77">
        <f t="shared" si="0"/>
        <v>314664</v>
      </c>
      <c r="G6" s="74">
        <f t="shared" ref="G6:G13" si="3">E6*2</f>
        <v>37460</v>
      </c>
      <c r="H6" s="81">
        <v>0</v>
      </c>
      <c r="I6" s="79"/>
      <c r="J6" s="79"/>
      <c r="K6" s="80">
        <f t="shared" ref="K6:K13" si="4">F6-SUM(G6:J6)</f>
        <v>277204</v>
      </c>
    </row>
    <row r="7" spans="1:11">
      <c r="A7" s="74">
        <v>3</v>
      </c>
      <c r="B7" s="75" t="s">
        <v>117</v>
      </c>
      <c r="C7" s="76">
        <v>187300</v>
      </c>
      <c r="D7" s="76">
        <f t="shared" si="1"/>
        <v>108634</v>
      </c>
      <c r="E7" s="76">
        <f t="shared" si="2"/>
        <v>18730</v>
      </c>
      <c r="F7" s="77">
        <f t="shared" si="0"/>
        <v>314664</v>
      </c>
      <c r="G7" s="74">
        <f t="shared" si="3"/>
        <v>37460</v>
      </c>
      <c r="H7" s="81">
        <v>0</v>
      </c>
      <c r="I7" s="79"/>
      <c r="J7" s="79"/>
      <c r="K7" s="80">
        <f t="shared" si="4"/>
        <v>277204</v>
      </c>
    </row>
    <row r="8" spans="1:11">
      <c r="A8" s="74">
        <v>4</v>
      </c>
      <c r="B8" s="75" t="s">
        <v>118</v>
      </c>
      <c r="C8" s="76">
        <v>198700</v>
      </c>
      <c r="D8" s="76">
        <f t="shared" si="1"/>
        <v>115246</v>
      </c>
      <c r="E8" s="76">
        <f t="shared" si="2"/>
        <v>19870</v>
      </c>
      <c r="F8" s="77">
        <f t="shared" si="0"/>
        <v>333816</v>
      </c>
      <c r="G8" s="74">
        <f t="shared" si="3"/>
        <v>39740</v>
      </c>
      <c r="H8" s="81">
        <v>0</v>
      </c>
      <c r="I8" s="79"/>
      <c r="J8" s="79"/>
      <c r="K8" s="80">
        <f t="shared" si="4"/>
        <v>294076</v>
      </c>
    </row>
    <row r="9" spans="1:11">
      <c r="A9" s="74">
        <v>5</v>
      </c>
      <c r="B9" s="75" t="s">
        <v>119</v>
      </c>
      <c r="C9" s="76">
        <v>95400</v>
      </c>
      <c r="D9" s="76">
        <f t="shared" si="1"/>
        <v>55332</v>
      </c>
      <c r="E9" s="76">
        <f t="shared" si="2"/>
        <v>9540</v>
      </c>
      <c r="F9" s="77">
        <f t="shared" si="0"/>
        <v>160272</v>
      </c>
      <c r="G9" s="74">
        <f t="shared" si="3"/>
        <v>19080</v>
      </c>
      <c r="H9" s="79"/>
      <c r="I9" s="79"/>
      <c r="J9" s="79"/>
      <c r="K9" s="80">
        <f t="shared" si="4"/>
        <v>141192</v>
      </c>
    </row>
    <row r="10" spans="1:11">
      <c r="A10" s="74">
        <v>6</v>
      </c>
      <c r="B10" s="75" t="s">
        <v>120</v>
      </c>
      <c r="C10" s="76">
        <v>187300</v>
      </c>
      <c r="D10" s="76">
        <f t="shared" si="1"/>
        <v>108634</v>
      </c>
      <c r="E10" s="76">
        <f t="shared" si="2"/>
        <v>18730</v>
      </c>
      <c r="F10" s="77">
        <f t="shared" si="0"/>
        <v>314664</v>
      </c>
      <c r="G10" s="74">
        <f t="shared" si="3"/>
        <v>37460</v>
      </c>
      <c r="H10" s="79"/>
      <c r="I10" s="79"/>
      <c r="J10" s="79"/>
      <c r="K10" s="80">
        <f t="shared" si="4"/>
        <v>277204</v>
      </c>
    </row>
    <row r="11" spans="1:11">
      <c r="A11" s="74">
        <v>7</v>
      </c>
      <c r="B11" s="75" t="s">
        <v>121</v>
      </c>
      <c r="C11" s="76">
        <v>176500</v>
      </c>
      <c r="D11" s="76">
        <f t="shared" si="1"/>
        <v>102370</v>
      </c>
      <c r="E11" s="76">
        <f t="shared" si="2"/>
        <v>17650</v>
      </c>
      <c r="F11" s="77">
        <f t="shared" si="0"/>
        <v>296520</v>
      </c>
      <c r="G11" s="74">
        <f t="shared" si="3"/>
        <v>35300</v>
      </c>
      <c r="H11" s="79"/>
      <c r="I11" s="79"/>
      <c r="J11" s="79"/>
      <c r="K11" s="80">
        <f t="shared" si="4"/>
        <v>261220</v>
      </c>
    </row>
    <row r="12" spans="1:11">
      <c r="A12" s="74">
        <v>8</v>
      </c>
      <c r="B12" s="75" t="s">
        <v>122</v>
      </c>
      <c r="C12" s="76">
        <v>98200</v>
      </c>
      <c r="D12" s="76">
        <f t="shared" si="1"/>
        <v>56956</v>
      </c>
      <c r="E12" s="76">
        <f t="shared" si="2"/>
        <v>9820</v>
      </c>
      <c r="F12" s="77">
        <f t="shared" si="0"/>
        <v>164976</v>
      </c>
      <c r="G12" s="74">
        <f t="shared" si="3"/>
        <v>19640</v>
      </c>
      <c r="H12" s="81"/>
      <c r="I12" s="79"/>
      <c r="J12" s="79"/>
      <c r="K12" s="80">
        <f t="shared" si="4"/>
        <v>145336</v>
      </c>
    </row>
    <row r="13" spans="1:11">
      <c r="A13" s="74">
        <v>9</v>
      </c>
      <c r="B13" s="75" t="s">
        <v>123</v>
      </c>
      <c r="C13" s="76">
        <v>198700</v>
      </c>
      <c r="D13" s="76">
        <f t="shared" si="1"/>
        <v>115246</v>
      </c>
      <c r="E13" s="76">
        <f t="shared" si="2"/>
        <v>19870</v>
      </c>
      <c r="F13" s="77">
        <f t="shared" si="0"/>
        <v>333816</v>
      </c>
      <c r="G13" s="74">
        <f t="shared" si="3"/>
        <v>39740</v>
      </c>
      <c r="H13" s="81">
        <v>0</v>
      </c>
      <c r="I13" s="79"/>
      <c r="J13" s="74">
        <v>6500</v>
      </c>
      <c r="K13" s="80">
        <f t="shared" si="4"/>
        <v>287576</v>
      </c>
    </row>
    <row r="14" spans="1:11">
      <c r="A14" s="74"/>
      <c r="B14" s="75"/>
      <c r="C14" s="76"/>
      <c r="D14" s="76">
        <f t="shared" si="1"/>
        <v>0</v>
      </c>
      <c r="E14" s="76" t="s">
        <v>124</v>
      </c>
      <c r="F14" s="77"/>
      <c r="G14" s="74"/>
      <c r="H14" s="82"/>
      <c r="I14" s="79"/>
      <c r="J14" s="74"/>
      <c r="K14" s="80"/>
    </row>
    <row r="15" spans="1:11">
      <c r="A15" s="74">
        <v>10</v>
      </c>
      <c r="B15" s="75" t="s">
        <v>77</v>
      </c>
      <c r="C15" s="76">
        <v>87200</v>
      </c>
      <c r="D15" s="76">
        <f t="shared" si="1"/>
        <v>50576</v>
      </c>
      <c r="E15" s="83">
        <f t="shared" ref="E15:E23" si="5">ROUND(C15*0.08,0)</f>
        <v>6976</v>
      </c>
      <c r="F15" s="77">
        <f>ROUNDUP(SUM(C15:E15),0)</f>
        <v>144752</v>
      </c>
      <c r="G15" s="74">
        <f>E15*2</f>
        <v>13952</v>
      </c>
      <c r="H15" s="79"/>
      <c r="I15" s="79"/>
      <c r="J15" s="74"/>
      <c r="K15" s="80">
        <f>F15-SUM(G15:J15)</f>
        <v>130800</v>
      </c>
    </row>
    <row r="16" spans="1:11">
      <c r="A16" s="74">
        <v>11</v>
      </c>
      <c r="B16" s="75" t="s">
        <v>125</v>
      </c>
      <c r="C16" s="76">
        <v>82200</v>
      </c>
      <c r="D16" s="76">
        <f t="shared" si="1"/>
        <v>47676</v>
      </c>
      <c r="E16" s="76">
        <f t="shared" si="5"/>
        <v>6576</v>
      </c>
      <c r="F16" s="77">
        <f t="shared" si="0"/>
        <v>136452</v>
      </c>
      <c r="G16" s="74">
        <f t="shared" ref="G16:G23" si="6">E16*2</f>
        <v>13152</v>
      </c>
      <c r="H16" s="79"/>
      <c r="I16" s="79"/>
      <c r="J16" s="74"/>
      <c r="K16" s="80">
        <f t="shared" ref="K16:K23" si="7">F16-SUM(G16:J16)</f>
        <v>123300</v>
      </c>
    </row>
    <row r="17" spans="1:11" ht="31.5">
      <c r="A17" s="74">
        <v>12</v>
      </c>
      <c r="B17" s="84" t="s">
        <v>126</v>
      </c>
      <c r="C17" s="76">
        <v>87200</v>
      </c>
      <c r="D17" s="76">
        <f t="shared" si="1"/>
        <v>50576</v>
      </c>
      <c r="E17" s="76">
        <f t="shared" si="5"/>
        <v>6976</v>
      </c>
      <c r="F17" s="77">
        <f t="shared" si="0"/>
        <v>144752</v>
      </c>
      <c r="G17" s="74">
        <f t="shared" si="6"/>
        <v>13952</v>
      </c>
      <c r="H17" s="81">
        <v>0</v>
      </c>
      <c r="I17" s="79"/>
      <c r="J17" s="74"/>
      <c r="K17" s="80">
        <f t="shared" si="7"/>
        <v>130800</v>
      </c>
    </row>
    <row r="18" spans="1:11" ht="45">
      <c r="A18" s="74">
        <v>13</v>
      </c>
      <c r="B18" s="85" t="s">
        <v>87</v>
      </c>
      <c r="C18" s="76">
        <v>70900</v>
      </c>
      <c r="D18" s="76">
        <f t="shared" si="1"/>
        <v>41122</v>
      </c>
      <c r="E18" s="76">
        <f t="shared" si="5"/>
        <v>5672</v>
      </c>
      <c r="F18" s="77">
        <f t="shared" si="0"/>
        <v>117694</v>
      </c>
      <c r="G18" s="74">
        <f t="shared" si="6"/>
        <v>11344</v>
      </c>
      <c r="H18" s="82"/>
      <c r="I18" s="79"/>
      <c r="J18" s="74">
        <v>6500</v>
      </c>
      <c r="K18" s="80">
        <f t="shared" si="7"/>
        <v>99850</v>
      </c>
    </row>
    <row r="19" spans="1:11">
      <c r="A19" s="74">
        <v>14</v>
      </c>
      <c r="B19" s="75" t="s">
        <v>127</v>
      </c>
      <c r="C19" s="76">
        <v>70900</v>
      </c>
      <c r="D19" s="76">
        <f t="shared" si="1"/>
        <v>41122</v>
      </c>
      <c r="E19" s="76">
        <f t="shared" si="5"/>
        <v>5672</v>
      </c>
      <c r="F19" s="77">
        <f t="shared" si="0"/>
        <v>117694</v>
      </c>
      <c r="G19" s="74">
        <f t="shared" si="6"/>
        <v>11344</v>
      </c>
      <c r="H19" s="79"/>
      <c r="I19" s="79"/>
      <c r="J19" s="74"/>
      <c r="K19" s="80">
        <f t="shared" si="7"/>
        <v>106350</v>
      </c>
    </row>
    <row r="20" spans="1:11">
      <c r="A20" s="74">
        <v>15</v>
      </c>
      <c r="B20" s="75" t="s">
        <v>99</v>
      </c>
      <c r="C20" s="76">
        <v>64900</v>
      </c>
      <c r="D20" s="76">
        <f t="shared" si="1"/>
        <v>37642</v>
      </c>
      <c r="E20" s="76">
        <f t="shared" si="5"/>
        <v>5192</v>
      </c>
      <c r="F20" s="77">
        <f t="shared" si="0"/>
        <v>107734</v>
      </c>
      <c r="G20" s="74">
        <f t="shared" si="6"/>
        <v>10384</v>
      </c>
      <c r="H20" s="79"/>
      <c r="I20" s="79"/>
      <c r="J20" s="79"/>
      <c r="K20" s="80">
        <f t="shared" si="7"/>
        <v>97350</v>
      </c>
    </row>
    <row r="21" spans="1:11" ht="45">
      <c r="A21" s="74">
        <v>16</v>
      </c>
      <c r="B21" s="85" t="s">
        <v>128</v>
      </c>
      <c r="C21" s="76">
        <v>73000</v>
      </c>
      <c r="D21" s="76">
        <f t="shared" si="1"/>
        <v>42340</v>
      </c>
      <c r="E21" s="76">
        <f t="shared" si="5"/>
        <v>5840</v>
      </c>
      <c r="F21" s="77">
        <f t="shared" si="0"/>
        <v>121180</v>
      </c>
      <c r="G21" s="74">
        <f t="shared" si="6"/>
        <v>11680</v>
      </c>
      <c r="H21" s="79"/>
      <c r="I21" s="79"/>
      <c r="J21" s="79"/>
      <c r="K21" s="80">
        <f t="shared" si="7"/>
        <v>109500</v>
      </c>
    </row>
    <row r="22" spans="1:11">
      <c r="A22" s="74">
        <v>17</v>
      </c>
      <c r="B22" s="75" t="s">
        <v>129</v>
      </c>
      <c r="C22" s="76">
        <v>63000</v>
      </c>
      <c r="D22" s="76">
        <f t="shared" si="1"/>
        <v>36540</v>
      </c>
      <c r="E22" s="76">
        <f t="shared" si="5"/>
        <v>5040</v>
      </c>
      <c r="F22" s="77">
        <f t="shared" si="0"/>
        <v>104580</v>
      </c>
      <c r="G22" s="74">
        <f t="shared" si="6"/>
        <v>10080</v>
      </c>
      <c r="H22" s="79"/>
      <c r="I22" s="79"/>
      <c r="J22" s="79"/>
      <c r="K22" s="80">
        <f t="shared" si="7"/>
        <v>94500</v>
      </c>
    </row>
    <row r="23" spans="1:11" ht="45">
      <c r="A23" s="74">
        <v>18</v>
      </c>
      <c r="B23" s="85" t="s">
        <v>130</v>
      </c>
      <c r="C23" s="76">
        <v>63000</v>
      </c>
      <c r="D23" s="76">
        <f t="shared" si="1"/>
        <v>36540</v>
      </c>
      <c r="E23" s="76">
        <f t="shared" si="5"/>
        <v>5040</v>
      </c>
      <c r="F23" s="77">
        <f t="shared" si="0"/>
        <v>104580</v>
      </c>
      <c r="G23" s="74">
        <f t="shared" si="6"/>
        <v>10080</v>
      </c>
      <c r="H23" s="79"/>
      <c r="I23" s="79"/>
      <c r="J23" s="79"/>
      <c r="K23" s="80">
        <f t="shared" si="7"/>
        <v>94500</v>
      </c>
    </row>
    <row r="24" spans="1:11">
      <c r="A24" s="86" t="s">
        <v>131</v>
      </c>
      <c r="B24" s="87"/>
      <c r="C24" s="88"/>
      <c r="D24" s="88"/>
      <c r="E24" s="88"/>
      <c r="F24" s="89">
        <f>SUM(F5:F23)</f>
        <v>3523994</v>
      </c>
      <c r="G24" s="86">
        <f>SUM(G5:G23)</f>
        <v>394608</v>
      </c>
      <c r="H24" s="86">
        <f t="shared" ref="H24:J24" si="8">SUM(H5:H22)</f>
        <v>0</v>
      </c>
      <c r="I24" s="86">
        <f t="shared" si="8"/>
        <v>0</v>
      </c>
      <c r="J24" s="86">
        <f t="shared" si="8"/>
        <v>13000</v>
      </c>
      <c r="K24" s="90">
        <f>SUM(K5:K23)</f>
        <v>3116386</v>
      </c>
    </row>
    <row r="25" spans="1:11" ht="45">
      <c r="A25" s="91"/>
      <c r="B25" s="91" t="s">
        <v>0</v>
      </c>
      <c r="C25" s="92" t="s">
        <v>65</v>
      </c>
      <c r="D25" s="92" t="s">
        <v>132</v>
      </c>
      <c r="E25" s="92" t="s">
        <v>133</v>
      </c>
      <c r="F25" s="93" t="s">
        <v>66</v>
      </c>
      <c r="G25" s="92" t="s">
        <v>67</v>
      </c>
      <c r="H25" s="93" t="s">
        <v>68</v>
      </c>
      <c r="I25" s="94" t="s">
        <v>69</v>
      </c>
      <c r="J25" s="91" t="s">
        <v>70</v>
      </c>
      <c r="K25" s="95" t="s">
        <v>114</v>
      </c>
    </row>
  </sheetData>
  <mergeCells count="3">
    <mergeCell ref="A1:K1"/>
    <mergeCell ref="A2:K2"/>
    <mergeCell ref="A3:K3"/>
  </mergeCells>
  <hyperlinks>
    <hyperlink ref="E4" r:id="rId1" xr:uid="{5A5A9243-E087-4FDE-8E12-E5CEACD5B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Teaching College Manangement Sa</vt:lpstr>
      <vt:lpstr>Teaching UGC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</dc:creator>
  <cp:lastModifiedBy>d89997</cp:lastModifiedBy>
  <cp:lastPrinted>2025-03-27T07:28:00Z</cp:lastPrinted>
  <dcterms:created xsi:type="dcterms:W3CDTF">2013-07-30T09:23:00Z</dcterms:created>
  <dcterms:modified xsi:type="dcterms:W3CDTF">2026-06-11T07:31:36Z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73259C8EC6A74B038F1C8D043BF21BFB_12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